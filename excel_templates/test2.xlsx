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8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b val="1"/>
      <color rgb="FFFF0000"/>
      <sz val="12"/>
      <scheme val="minor"/>
    </font>
    <font>
      <name val="Aptos Narrow"/>
      <b val="1"/>
      <color theme="1"/>
      <sz val="12"/>
      <scheme val="minor"/>
    </font>
    <font>
      <name val="Aptos Narrow"/>
      <color theme="1"/>
      <sz val="12"/>
      <scheme val="minor"/>
    </font>
    <font>
      <name val="Aptos Narrow"/>
      <color theme="2" tint="-0.249977111117893"/>
      <sz val="12"/>
      <scheme val="minor"/>
    </font>
    <font>
      <name val="Aptos Narrow"/>
      <color theme="2" tint="-0.249977111117893"/>
      <sz val="11"/>
      <scheme val="minor"/>
    </font>
    <font>
      <name val="Aptos Narrow"/>
      <b val="1"/>
      <color indexed="40"/>
      <sz val="10"/>
      <scheme val="minor"/>
    </font>
    <font>
      <name val="Aptos Narrow"/>
      <b val="1"/>
      <color theme="1"/>
      <sz val="11"/>
      <scheme val="minor"/>
    </font>
    <font>
      <name val="Aptos Narrow"/>
      <b val="1"/>
      <color rgb="FF00CCFF"/>
      <sz val="10"/>
      <scheme val="minor"/>
    </font>
    <font>
      <name val="Arial"/>
      <family val="2"/>
      <b val="1"/>
      <color indexed="40"/>
      <sz val="10"/>
    </font>
  </fonts>
  <fills count="6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A6C9ED"/>
        <bgColor indexed="64"/>
      </patternFill>
    </fill>
    <fill>
      <patternFill patternType="solid">
        <fgColor rgb="FFB5E7A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indexed="64"/>
      </top>
      <bottom style="thin">
        <color theme="2" tint="-0.499984740745262"/>
      </bottom>
      <diagonal/>
    </border>
    <border>
      <left/>
      <right/>
      <top style="thin">
        <color indexed="64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indexed="64"/>
      </top>
      <bottom style="thin">
        <color theme="2" tint="-0.499984740745262"/>
      </bottom>
      <diagonal/>
    </border>
    <border>
      <left style="thin">
        <color indexed="64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indexed="64"/>
      </left>
      <right style="thin">
        <color theme="2" tint="-0.499984740745262"/>
      </right>
      <top/>
      <bottom style="thin">
        <color theme="2" tint="-0.49998474074526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2" tint="-0.499984740745262"/>
      </left>
      <right style="thin">
        <color indexed="64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indexed="64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indexed="64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indexed="64"/>
      </right>
      <top/>
      <bottom/>
      <diagonal/>
    </border>
    <border>
      <left style="thin">
        <color theme="2" tint="-0.499984740745262"/>
      </left>
      <right style="thin">
        <color indexed="64"/>
      </right>
      <top/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indexed="64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64"/>
      </left>
      <right style="thin">
        <color theme="2" tint="-0.499984740745262"/>
      </right>
      <top/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indexed="64"/>
      </right>
      <top style="thin">
        <color theme="2" tint="-0.499984740745262"/>
      </top>
      <bottom/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49" fontId="4" fillId="0" borderId="1" applyAlignment="1" pivotButton="0" quotePrefix="0" xfId="0">
      <alignment horizontal="center"/>
    </xf>
    <xf numFmtId="49" fontId="4" fillId="0" borderId="2" applyAlignment="1" pivotButton="0" quotePrefix="0" xfId="0">
      <alignment horizontal="center"/>
    </xf>
    <xf numFmtId="49" fontId="4" fillId="0" borderId="3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49" fontId="4" fillId="0" borderId="22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/>
    </xf>
    <xf numFmtId="49" fontId="4" fillId="0" borderId="14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/>
    </xf>
    <xf numFmtId="49" fontId="4" fillId="0" borderId="23" applyAlignment="1" pivotButton="0" quotePrefix="0" xfId="0">
      <alignment horizontal="center" vertical="center"/>
    </xf>
    <xf numFmtId="1" fontId="4" fillId="0" borderId="19" applyAlignment="1" pivotButton="0" quotePrefix="0" xfId="0">
      <alignment horizontal="center" vertical="center"/>
    </xf>
    <xf numFmtId="1" fontId="4" fillId="0" borderId="20" applyAlignment="1" pivotButton="0" quotePrefix="0" xfId="0">
      <alignment horizontal="center" vertical="center"/>
    </xf>
    <xf numFmtId="1" fontId="4" fillId="0" borderId="21" applyAlignment="1" pivotButton="0" quotePrefix="0" xfId="0">
      <alignment horizontal="center" vertical="center"/>
    </xf>
    <xf numFmtId="0" fontId="4" fillId="4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4" fillId="5" borderId="30" applyAlignment="1" pivotButton="0" quotePrefix="0" xfId="0">
      <alignment horizontal="center" vertical="center"/>
    </xf>
    <xf numFmtId="1" fontId="4" fillId="0" borderId="32" applyAlignment="1" pivotButton="0" quotePrefix="0" xfId="0">
      <alignment horizontal="center" vertical="center"/>
    </xf>
    <xf numFmtId="1" fontId="4" fillId="0" borderId="33" applyAlignment="1" pivotButton="0" quotePrefix="0" xfId="0">
      <alignment horizontal="center" vertical="center"/>
    </xf>
    <xf numFmtId="1" fontId="4" fillId="0" borderId="34" applyAlignment="1" pivotButton="0" quotePrefix="0" xfId="0">
      <alignment horizontal="center" vertical="center"/>
    </xf>
    <xf numFmtId="1" fontId="4" fillId="3" borderId="1" applyAlignment="1" pivotButton="0" quotePrefix="0" xfId="0">
      <alignment horizontal="center" vertical="center"/>
    </xf>
    <xf numFmtId="1" fontId="4" fillId="3" borderId="35" applyAlignment="1" pivotButton="0" quotePrefix="0" xfId="0">
      <alignment horizontal="center" vertical="center"/>
    </xf>
    <xf numFmtId="1" fontId="4" fillId="2" borderId="3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11" fontId="8" fillId="0" borderId="7" applyAlignment="1" pivotButton="0" quotePrefix="0" xfId="0">
      <alignment horizontal="center"/>
    </xf>
    <xf numFmtId="11" fontId="8" fillId="0" borderId="0" applyAlignment="1" pivotButton="0" quotePrefix="0" xfId="0">
      <alignment horizontal="center"/>
    </xf>
    <xf numFmtId="11" fontId="8" fillId="0" borderId="8" applyAlignment="1" pivotButton="0" quotePrefix="0" xfId="0">
      <alignment horizontal="center"/>
    </xf>
    <xf numFmtId="11" fontId="8" fillId="0" borderId="12" applyAlignment="1" pivotButton="0" quotePrefix="0" xfId="0">
      <alignment horizontal="center"/>
    </xf>
    <xf numFmtId="11" fontId="8" fillId="0" borderId="6" applyAlignment="1" pivotButton="0" quotePrefix="0" xfId="0">
      <alignment horizontal="center"/>
    </xf>
    <xf numFmtId="11" fontId="8" fillId="0" borderId="9" applyAlignment="1" pivotButton="0" quotePrefix="0" xfId="0">
      <alignment horizontal="center"/>
    </xf>
    <xf numFmtId="11" fontId="8" fillId="0" borderId="10" applyAlignment="1" pivotButton="0" quotePrefix="0" xfId="0">
      <alignment horizontal="center"/>
    </xf>
    <xf numFmtId="11" fontId="8" fillId="0" borderId="11" applyAlignment="1" pivotButton="0" quotePrefix="0" xfId="0">
      <alignment horizontal="center"/>
    </xf>
    <xf numFmtId="11" fontId="8" fillId="0" borderId="13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2" fontId="6" fillId="0" borderId="5" applyAlignment="1" pivotButton="0" quotePrefix="0" xfId="0">
      <alignment horizontal="center"/>
    </xf>
    <xf numFmtId="2" fontId="6" fillId="0" borderId="29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7" applyAlignment="1" pivotButton="0" quotePrefix="0" xfId="0">
      <alignment horizontal="center"/>
    </xf>
    <xf numFmtId="0" fontId="5" fillId="0" borderId="8" applyAlignment="1" pivotButton="0" quotePrefix="0" xfId="0">
      <alignment horizontal="center"/>
    </xf>
    <xf numFmtId="2" fontId="5" fillId="0" borderId="0" applyAlignment="1" pivotButton="0" quotePrefix="0" xfId="0">
      <alignment horizontal="center"/>
    </xf>
    <xf numFmtId="2" fontId="5" fillId="0" borderId="8" applyAlignment="1" pivotButton="0" quotePrefix="0" xfId="0">
      <alignment horizontal="center"/>
    </xf>
    <xf numFmtId="0" fontId="4" fillId="3" borderId="15" applyAlignment="1" pivotButton="0" quotePrefix="0" xfId="0">
      <alignment horizontal="center"/>
    </xf>
    <xf numFmtId="2" fontId="4" fillId="3" borderId="16" applyAlignment="1" pivotButton="0" quotePrefix="0" xfId="0">
      <alignment horizontal="center"/>
    </xf>
    <xf numFmtId="0" fontId="4" fillId="3" borderId="16" applyAlignment="1" pivotButton="0" quotePrefix="0" xfId="0">
      <alignment horizontal="center"/>
    </xf>
    <xf numFmtId="0" fontId="4" fillId="3" borderId="17" applyAlignment="1" pivotButton="0" quotePrefix="0" xfId="0">
      <alignment horizontal="center"/>
    </xf>
    <xf numFmtId="11" fontId="5" fillId="0" borderId="0" applyAlignment="1" pivotButton="0" quotePrefix="0" xfId="0">
      <alignment horizontal="center"/>
    </xf>
    <xf numFmtId="11" fontId="5" fillId="0" borderId="8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2" fontId="4" fillId="2" borderId="16" applyAlignment="1" pivotButton="0" quotePrefix="0" xfId="0">
      <alignment horizontal="center"/>
    </xf>
    <xf numFmtId="0" fontId="4" fillId="2" borderId="17" applyAlignment="1" pivotButton="0" quotePrefix="0" xfId="0">
      <alignment horizontal="center"/>
    </xf>
    <xf numFmtId="0" fontId="5" fillId="0" borderId="9" applyAlignment="1" pivotButton="0" quotePrefix="0" xfId="0">
      <alignment horizontal="center"/>
    </xf>
    <xf numFmtId="11" fontId="5" fillId="0" borderId="10" applyAlignment="1" pivotButton="0" quotePrefix="0" xfId="0">
      <alignment horizontal="center"/>
    </xf>
    <xf numFmtId="11" fontId="5" fillId="0" borderId="11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49" fontId="4" fillId="0" borderId="24" applyAlignment="1" pivotButton="0" quotePrefix="0" xfId="0">
      <alignment horizontal="center"/>
    </xf>
    <xf numFmtId="49" fontId="4" fillId="0" borderId="25" applyAlignment="1" pivotButton="0" quotePrefix="0" xfId="0">
      <alignment horizontal="center"/>
    </xf>
    <xf numFmtId="49" fontId="4" fillId="0" borderId="26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5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49" fontId="4" fillId="0" borderId="36" applyAlignment="1" pivotButton="0" quotePrefix="0" xfId="0">
      <alignment horizontal="center"/>
    </xf>
    <xf numFmtId="0" fontId="0" fillId="0" borderId="25" pivotButton="0" quotePrefix="0" xfId="0"/>
    <xf numFmtId="0" fontId="0" fillId="0" borderId="26" pivotButton="0" quotePrefix="0" xfId="0"/>
    <xf numFmtId="0" fontId="4" fillId="0" borderId="35" applyAlignment="1" pivotButton="0" quotePrefix="0" xfId="0">
      <alignment horizontal="center" vertical="center"/>
    </xf>
    <xf numFmtId="0" fontId="4" fillId="0" borderId="38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13" pivotButton="0" quotePrefix="0" xfId="0"/>
    <xf numFmtId="0" fontId="0" fillId="0" borderId="28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B31"/>
  <sheetViews>
    <sheetView tabSelected="1" zoomScaleNormal="133" workbookViewId="0">
      <selection activeCell="I29" sqref="I29"/>
    </sheetView>
  </sheetViews>
  <sheetFormatPr baseColWidth="10" defaultRowHeight="16"/>
  <cols>
    <col width="14.33203125" bestFit="1" customWidth="1" style="27" min="1" max="1"/>
    <col width="10.83203125" customWidth="1" style="27" min="2" max="16384"/>
  </cols>
  <sheetData>
    <row r="2">
      <c r="B2" s="72" t="inlineStr">
        <is>
          <t>Empty</t>
        </is>
      </c>
      <c r="C2" s="73" t="n"/>
      <c r="D2" s="73" t="n"/>
      <c r="E2" s="73" t="n"/>
      <c r="F2" s="73" t="n"/>
      <c r="G2" s="73" t="n"/>
      <c r="H2" s="73" t="n"/>
      <c r="I2" s="73" t="n"/>
      <c r="J2" s="73" t="n"/>
      <c r="K2" s="73" t="n"/>
      <c r="L2" s="73" t="n"/>
      <c r="M2" s="74" t="n"/>
      <c r="P2" s="72" t="inlineStr">
        <is>
          <t>Averages</t>
        </is>
      </c>
      <c r="Q2" s="73" t="n"/>
      <c r="R2" s="73" t="n"/>
      <c r="S2" s="74" t="n"/>
    </row>
    <row r="3">
      <c r="B3" s="72" t="inlineStr">
        <is>
          <t>Empty</t>
        </is>
      </c>
      <c r="C3" s="73" t="n"/>
      <c r="D3" s="74" t="n"/>
      <c r="E3" s="72" t="inlineStr">
        <is>
          <t>Empty</t>
        </is>
      </c>
      <c r="F3" s="73" t="n"/>
      <c r="G3" s="74" t="n"/>
      <c r="H3" s="72" t="inlineStr">
        <is>
          <t>Empty</t>
        </is>
      </c>
      <c r="I3" s="73" t="n"/>
      <c r="J3" s="74" t="n"/>
      <c r="K3" s="72" t="inlineStr">
        <is>
          <t>Empty</t>
        </is>
      </c>
      <c r="L3" s="73" t="n"/>
      <c r="M3" s="74" t="n"/>
      <c r="P3" s="69">
        <f>B3</f>
        <v/>
      </c>
      <c r="Q3" s="70">
        <f>E3</f>
        <v/>
      </c>
      <c r="R3" s="70">
        <f>H3</f>
        <v/>
      </c>
      <c r="S3" s="71">
        <f>K3</f>
        <v/>
      </c>
    </row>
    <row r="4">
      <c r="A4" s="19" t="inlineStr">
        <is>
          <t>Dilution Series</t>
        </is>
      </c>
      <c r="B4" s="75" t="inlineStr">
        <is>
          <t>Empty</t>
        </is>
      </c>
      <c r="C4" s="76" t="n"/>
      <c r="D4" s="77" t="n"/>
      <c r="E4" s="75" t="inlineStr">
        <is>
          <t>Empty</t>
        </is>
      </c>
      <c r="F4" s="76" t="n"/>
      <c r="G4" s="77" t="n"/>
      <c r="H4" s="75" t="inlineStr">
        <is>
          <t>Empty</t>
        </is>
      </c>
      <c r="I4" s="76" t="n"/>
      <c r="J4" s="77" t="n"/>
      <c r="K4" s="75" t="inlineStr">
        <is>
          <t>Empty</t>
        </is>
      </c>
      <c r="L4" s="76" t="n"/>
      <c r="M4" s="77" t="n"/>
      <c r="P4" s="5">
        <f>B4</f>
        <v/>
      </c>
      <c r="Q4" s="6">
        <f>E4</f>
        <v/>
      </c>
      <c r="R4" s="6">
        <f>H4</f>
        <v/>
      </c>
      <c r="S4" s="7">
        <f>K4</f>
        <v/>
      </c>
    </row>
    <row r="5">
      <c r="A5" s="59" t="n">
        <v>32</v>
      </c>
      <c r="B5" s="28" t="n"/>
      <c r="C5" s="29" t="n"/>
      <c r="D5" s="30" t="n"/>
      <c r="E5" s="28" t="n"/>
      <c r="F5" s="29" t="n"/>
      <c r="G5" s="30" t="n"/>
      <c r="H5" s="28" t="n"/>
      <c r="I5" s="29" t="n"/>
      <c r="J5" s="30" t="n"/>
      <c r="K5" s="28" t="n"/>
      <c r="L5" s="29" t="n"/>
      <c r="M5" s="30" t="n"/>
      <c r="O5" s="8" t="n">
        <v>50</v>
      </c>
      <c r="P5" s="31">
        <f>AVERAGE(B5:D5)</f>
        <v/>
      </c>
      <c r="Q5" s="31">
        <f>AVERAGE(E5:G5)</f>
        <v/>
      </c>
      <c r="R5" s="31">
        <f>AVERAGE(H5:J5)</f>
        <v/>
      </c>
      <c r="S5" s="31">
        <f>AVERAGE(K5:M5)</f>
        <v/>
      </c>
    </row>
    <row r="6">
      <c r="A6" s="59" t="n">
        <v>23</v>
      </c>
      <c r="B6" s="28" t="n"/>
      <c r="C6" s="29" t="n"/>
      <c r="D6" s="30" t="n"/>
      <c r="E6" s="28" t="n"/>
      <c r="F6" s="29" t="n"/>
      <c r="G6" s="30" t="n"/>
      <c r="H6" s="28" t="n"/>
      <c r="I6" s="29" t="n"/>
      <c r="J6" s="30" t="n"/>
      <c r="K6" s="28" t="n"/>
      <c r="L6" s="29" t="n"/>
      <c r="M6" s="30" t="n"/>
      <c r="O6" s="8" t="n">
        <v>150</v>
      </c>
      <c r="P6" s="32">
        <f>AVERAGE(B6:D6)</f>
        <v/>
      </c>
      <c r="Q6" s="32">
        <f>AVERAGE(E6:G6)</f>
        <v/>
      </c>
      <c r="R6" s="32">
        <f>AVERAGE(H6:J6)</f>
        <v/>
      </c>
      <c r="S6" s="32">
        <f>AVERAGE(K6:M6)</f>
        <v/>
      </c>
    </row>
    <row r="7">
      <c r="A7" s="59" t="n">
        <v>256</v>
      </c>
      <c r="B7" s="28" t="n"/>
      <c r="C7" s="29" t="n"/>
      <c r="D7" s="30" t="n"/>
      <c r="E7" s="28" t="n"/>
      <c r="F7" s="29" t="n"/>
      <c r="G7" s="30" t="n"/>
      <c r="H7" s="28" t="n"/>
      <c r="I7" s="29" t="n"/>
      <c r="J7" s="30" t="n"/>
      <c r="K7" s="28" t="n"/>
      <c r="L7" s="29" t="n"/>
      <c r="M7" s="30" t="n"/>
      <c r="O7" s="8" t="n">
        <v>450</v>
      </c>
      <c r="P7" s="32">
        <f>AVERAGE(B7:D7)</f>
        <v/>
      </c>
      <c r="Q7" s="32">
        <f>AVERAGE(E7:G7)</f>
        <v/>
      </c>
      <c r="R7" s="32">
        <f>AVERAGE(H7:J7)</f>
        <v/>
      </c>
      <c r="S7" s="32">
        <f>AVERAGE(K7:M7)</f>
        <v/>
      </c>
    </row>
    <row r="8">
      <c r="A8" s="59" t="n">
        <v>1024</v>
      </c>
      <c r="B8" s="28" t="n"/>
      <c r="C8" s="29" t="n"/>
      <c r="D8" s="30" t="n"/>
      <c r="E8" s="28" t="n"/>
      <c r="F8" s="29" t="n"/>
      <c r="G8" s="30" t="n"/>
      <c r="H8" s="28" t="n"/>
      <c r="I8" s="29" t="n"/>
      <c r="J8" s="30" t="n"/>
      <c r="K8" s="28" t="n"/>
      <c r="L8" s="29" t="n"/>
      <c r="M8" s="30" t="n"/>
      <c r="O8" s="8" t="n">
        <v>1350</v>
      </c>
      <c r="P8" s="32">
        <f>AVERAGE(B8:D8)</f>
        <v/>
      </c>
      <c r="Q8" s="32">
        <f>AVERAGE(E8:G8)</f>
        <v/>
      </c>
      <c r="R8" s="32">
        <f>AVERAGE(H8:J8)</f>
        <v/>
      </c>
      <c r="S8" s="32">
        <f>AVERAGE(K8:M8)</f>
        <v/>
      </c>
    </row>
    <row r="9">
      <c r="A9" s="59" t="n">
        <v>4096</v>
      </c>
      <c r="B9" s="28" t="n"/>
      <c r="C9" s="29" t="n"/>
      <c r="D9" s="30" t="n"/>
      <c r="E9" s="28" t="n"/>
      <c r="F9" s="29" t="n"/>
      <c r="G9" s="30" t="n"/>
      <c r="H9" s="28" t="n"/>
      <c r="I9" s="29" t="n"/>
      <c r="J9" s="30" t="n"/>
      <c r="K9" s="28" t="n"/>
      <c r="L9" s="29" t="n"/>
      <c r="M9" s="30" t="n"/>
      <c r="O9" s="8" t="n">
        <v>4050</v>
      </c>
      <c r="P9" s="32">
        <f>AVERAGE(B9:D9)</f>
        <v/>
      </c>
      <c r="Q9" s="32">
        <f>AVERAGE(E9:G9)</f>
        <v/>
      </c>
      <c r="R9" s="32">
        <f>AVERAGE(H9:J9)</f>
        <v/>
      </c>
      <c r="S9" s="32">
        <f>AVERAGE(K9:M9)</f>
        <v/>
      </c>
    </row>
    <row r="10">
      <c r="A10" s="59" t="n">
        <v>16384</v>
      </c>
      <c r="B10" s="28" t="n"/>
      <c r="C10" s="29" t="n"/>
      <c r="D10" s="30" t="n"/>
      <c r="E10" s="28" t="n"/>
      <c r="F10" s="29" t="n"/>
      <c r="G10" s="30" t="n"/>
      <c r="H10" s="28" t="n"/>
      <c r="I10" s="29" t="n"/>
      <c r="J10" s="30" t="n"/>
      <c r="K10" s="28" t="n"/>
      <c r="L10" s="29" t="n"/>
      <c r="M10" s="30" t="n"/>
      <c r="O10" s="8" t="n">
        <v>12150</v>
      </c>
      <c r="P10" s="32">
        <f>AVERAGE(B10:D10)</f>
        <v/>
      </c>
      <c r="Q10" s="32">
        <f>AVERAGE(E10:G10)</f>
        <v/>
      </c>
      <c r="R10" s="32">
        <f>AVERAGE(H10:J10)</f>
        <v/>
      </c>
      <c r="S10" s="32">
        <f>AVERAGE(K10:M10)</f>
        <v/>
      </c>
    </row>
    <row r="11">
      <c r="A11" s="59" t="n">
        <v>65536</v>
      </c>
      <c r="B11" s="28" t="n"/>
      <c r="C11" s="29" t="n"/>
      <c r="D11" s="30" t="n"/>
      <c r="E11" s="28" t="n"/>
      <c r="F11" s="29" t="n"/>
      <c r="G11" s="30" t="n"/>
      <c r="H11" s="28" t="n"/>
      <c r="I11" s="29" t="n"/>
      <c r="J11" s="30" t="n"/>
      <c r="K11" s="28" t="n"/>
      <c r="L11" s="29" t="n"/>
      <c r="M11" s="30" t="n"/>
      <c r="O11" s="8" t="n">
        <v>36450</v>
      </c>
      <c r="P11" s="32">
        <f>AVERAGE(B11:D11)</f>
        <v/>
      </c>
      <c r="Q11" s="32">
        <f>AVERAGE(E11:G11)</f>
        <v/>
      </c>
      <c r="R11" s="32">
        <f>AVERAGE(H11:J11)</f>
        <v/>
      </c>
      <c r="S11" s="32">
        <f>AVERAGE(K11:M11)</f>
        <v/>
      </c>
    </row>
    <row r="12">
      <c r="A12" s="59" t="n">
        <v>0</v>
      </c>
      <c r="B12" s="33" t="n"/>
      <c r="C12" s="34" t="n"/>
      <c r="D12" s="35" t="n"/>
      <c r="E12" s="33" t="n"/>
      <c r="F12" s="34" t="n"/>
      <c r="G12" s="35" t="n"/>
      <c r="H12" s="33" t="n"/>
      <c r="I12" s="34" t="n"/>
      <c r="J12" s="35" t="n"/>
      <c r="K12" s="33" t="n"/>
      <c r="L12" s="34" t="n"/>
      <c r="M12" s="35" t="n"/>
      <c r="O12" s="8" t="n">
        <v>0</v>
      </c>
      <c r="P12" s="36">
        <f>AVERAGE(B12:D12)</f>
        <v/>
      </c>
      <c r="Q12" s="36">
        <f>AVERAGE(E12:G12)</f>
        <v/>
      </c>
      <c r="R12" s="36">
        <f>AVERAGE(H12:J12)</f>
        <v/>
      </c>
      <c r="S12" s="36">
        <f>AVERAGE(K12:M12)</f>
        <v/>
      </c>
    </row>
    <row r="14" ht="16" customHeight="1">
      <c r="A14" s="1" t="inlineStr">
        <is>
          <t>NT 90%</t>
        </is>
      </c>
      <c r="B14" s="24">
        <f>IFERROR((P19-INDEX(B5:B12,P14))/(INDEX(B5:B12,P14+1)-INDEX(B5:B12,P14))*(INDEX(A5:A12,P14+1)-INDEX(A5:A12,P14))+INDEX(A5:A12,P14), "≤" &amp; A5)</f>
        <v/>
      </c>
      <c r="C14" s="24">
        <f>IFERROR((Q19-INDEX(C5:C12,Q14))/(INDEX(C5:C12,Q14+1)-INDEX(C5:C12,Q14))*(INDEX(A5:A12,Q14+1)-INDEX(A5:A12,Q14))+INDEX(A5:A12,Q14), "≤" &amp; A5)</f>
        <v/>
      </c>
      <c r="D14" s="24">
        <f>IFERROR((R19-INDEX(D5:D12,R14))/(INDEX(D5:D12,R14+1)-INDEX(D5:D12,R14))*(INDEX(A5:A12,R14+1)-INDEX(A5:A12,R14))+INDEX(A5:A12,R14), "≤" &amp; A5)</f>
        <v/>
      </c>
      <c r="E14" s="24">
        <f>IFERROR((S19-INDEX(E5:E12,S14))/(INDEX(E5:E12,S14+1)-INDEX(E5:E12,S14))*(INDEX(A5:A12,S14+1)-INDEX(A5:A12,S14))+INDEX(A5:A12,S14), "≤" &amp; A5)</f>
        <v/>
      </c>
      <c r="F14" s="24">
        <f>IFERROR((T19-INDEX(F5:F12,T14))/(INDEX(F5:F12,T14+1)-INDEX(F5:F12,T14))*(INDEX(A5:A12,T14+1)-INDEX(A5:A12,T14))+INDEX(A5:A12,T14), "≤" &amp; A5)</f>
        <v/>
      </c>
      <c r="G14" s="24">
        <f>IFERROR((U19-INDEX(G5:G12,U14))/(INDEX(G5:G12,U14+1)-INDEX(G5:G12,U14))*(INDEX(A5:A12,U14+1)-INDEX(A5:A12,U14))+INDEX(A5:A12,U14), "≤" &amp; A5)</f>
        <v/>
      </c>
      <c r="H14" s="24">
        <f>IFERROR((V19-INDEX(H5:H12,V14))/(INDEX(H5:H12,V14+1)-INDEX(H5:H12,V14))*(INDEX(A5:A12,V14+1)-INDEX(A5:A12,V14))+INDEX(A5:A12,V14), "≤" &amp; A5)</f>
        <v/>
      </c>
      <c r="I14" s="24">
        <f>IFERROR((W19-INDEX(I5:I12,W14))/(INDEX(I5:I12,W14+1)-INDEX(I5:I12,W14))*(INDEX(A5:A12,W14+1)-INDEX(A5:A12,W14))+INDEX(A5:A12,W14), "≤" &amp; A5)</f>
        <v/>
      </c>
      <c r="J14" s="24">
        <f>IFERROR((X19-INDEX(J5:J12,X14))/(INDEX(J5:J12,X14+1)-INDEX(J5:J12,X14))*(INDEX(A5:A12,X14+1)-INDEX(A5:A12,X14))+INDEX(A5:A12,X14), "≤" &amp; A5)</f>
        <v/>
      </c>
      <c r="K14" s="24">
        <f>IFERROR((Y19-INDEX(K5:K12,Y14))/(INDEX(K5:K12,Y14+1)-INDEX(K5:K12,Y14))*(INDEX(A5:A12,Y14+1)-INDEX(A5:A12,Y14))+INDEX(A5:A12,Y14), "≤" &amp; A5)</f>
        <v/>
      </c>
      <c r="L14" s="24">
        <f>IFERROR((Z19-INDEX(L5:L12,Z14))/(INDEX(L5:L12,Z14+1)-INDEX(L5:L12,Z14))*(INDEX(A5:A12,Z14+1)-INDEX(A5:A12,Z14))+INDEX(A5:A12,Z14), "≤" &amp; A5)</f>
        <v/>
      </c>
      <c r="M14" s="25">
        <f>IFERROR((AA19-INDEX(M5:M12,AA14))/(INDEX(M5:M12,AA14+1)-INDEX(M5:M12,AA14))*(INDEX(A5:A12,AA14+1)-INDEX(A5:A12,AA14))+INDEX(A5:A12,AA14), "≤" &amp; A5)</f>
        <v/>
      </c>
      <c r="O14" s="37" t="inlineStr">
        <is>
          <t>MATCH 90</t>
        </is>
      </c>
      <c r="P14" s="38">
        <f>MATCH(P19,B5:B12)</f>
        <v/>
      </c>
      <c r="Q14" s="38">
        <f>MATCH(Q19,C5:C12)</f>
        <v/>
      </c>
      <c r="R14" s="38">
        <f>MATCH(R19,D5:D12)</f>
        <v/>
      </c>
      <c r="S14" s="38">
        <f>MATCH(S19,E5:E12)</f>
        <v/>
      </c>
      <c r="T14" s="38">
        <f>MATCH(T19,F5:F12)</f>
        <v/>
      </c>
      <c r="U14" s="38">
        <f>MATCH(U19,G5:G12)</f>
        <v/>
      </c>
      <c r="V14" s="38">
        <f>MATCH(V19,H5:H12)</f>
        <v/>
      </c>
      <c r="W14" s="38">
        <f>MATCH(W19,I5:I12)</f>
        <v/>
      </c>
      <c r="X14" s="38">
        <f>MATCH(X19,J5:J12)</f>
        <v/>
      </c>
      <c r="Y14" s="38">
        <f>MATCH(Y19,K5:K12)</f>
        <v/>
      </c>
      <c r="Z14" s="38">
        <f>MATCH(Z19,L5:L12)</f>
        <v/>
      </c>
      <c r="AA14" s="39">
        <f>MATCH(AA19,M5:M12)</f>
        <v/>
      </c>
      <c r="AB14" s="40" t="n"/>
    </row>
    <row r="15">
      <c r="O15" s="41" t="n"/>
      <c r="P15" s="40" t="n"/>
      <c r="Q15" s="40" t="n"/>
      <c r="R15" s="40" t="n"/>
      <c r="S15" s="40" t="n"/>
      <c r="T15" s="40" t="n"/>
      <c r="U15" s="40" t="n"/>
      <c r="V15" s="40" t="n"/>
      <c r="W15" s="40" t="n"/>
      <c r="X15" s="40" t="n"/>
      <c r="Y15" s="40" t="n"/>
      <c r="Z15" s="40" t="n"/>
      <c r="AA15" s="42" t="n"/>
      <c r="AB15" s="40" t="n"/>
    </row>
    <row r="16">
      <c r="A16" s="1" t="inlineStr">
        <is>
          <t>NT 50%</t>
        </is>
      </c>
      <c r="B16" s="26">
        <f>IFERROR((P21-INDEX(B5:B12,P16))/(INDEX(B5:B12,P16+1)-INDEX(B5:B12,P16))*(INDEX(A5:A12,P16+1)-INDEX(A5:A12,P16))+INDEX(A5:A12,P16), "≤" &amp; A5)</f>
        <v/>
      </c>
      <c r="C16" s="26">
        <f>IFERROR((Q21-INDEX(C5:C12,Q16))/(INDEX(C5:C12,Q16+1)-INDEX(C5:C12,Q16))*(INDEX(A5:A12,Q16+1)-INDEX(A5:A12,Q16))+INDEX(A5:A12,Q16), "≤" &amp; A5)</f>
        <v/>
      </c>
      <c r="D16" s="26">
        <f>IFERROR((R21-INDEX(D5:D12,R16))/(INDEX(D5:D12,R16+1)-INDEX(D5:D12,R16))*(INDEX(A5:A12,R16+1)-INDEX(A5:A12,R16))+INDEX(A5:A12,R16), "≤" &amp; A5)</f>
        <v/>
      </c>
      <c r="E16" s="26">
        <f>IFERROR((S21-INDEX(E5:E12,S16))/(INDEX(E5:E12,S16+1)-INDEX(E5:E12,S16))*(INDEX(A5:A12,S16+1)-INDEX(A5:A12,S16))+INDEX(A5:A12,S16), "≤" &amp; A5)</f>
        <v/>
      </c>
      <c r="F16" s="26">
        <f>IFERROR((T21-INDEX(F5:F12,T16))/(INDEX(F5:F12,T16+1)-INDEX(F5:F12,T16))*(INDEX(A5:A12,T16+1)-INDEX(A5:A12,T16))+INDEX(A5:A12,T16), "≤" &amp; A5)</f>
        <v/>
      </c>
      <c r="G16" s="26">
        <f>IFERROR((U21-INDEX(G5:G12,U16))/(INDEX(G5:G12,U16+1)-INDEX(G5:G12,U16))*(INDEX(A5:A12,U16+1)-INDEX(A5:A12,U16))+INDEX(A5:A12,U16), "≤" &amp; A5)</f>
        <v/>
      </c>
      <c r="H16" s="26">
        <f>IFERROR((V21-INDEX(H5:H12,V16))/(INDEX(H5:H12,V16+1)-INDEX(H5:H12,V16))*(INDEX(A5:A12,V16+1)-INDEX(A5:A12,V16))+INDEX(A5:A12,V16), "≤" &amp; A5)</f>
        <v/>
      </c>
      <c r="I16" s="26">
        <f>IFERROR((W21-INDEX(I5:I12,W16))/(INDEX(I5:I12,W16+1)-INDEX(I5:I12,W16))*(INDEX(A5:A12,W16+1)-INDEX(A5:A12,W16))+INDEX(A5:A12,W16), "≤" &amp; A5)</f>
        <v/>
      </c>
      <c r="J16" s="26">
        <f>IFERROR((X21-INDEX(J5:J12,X16))/(INDEX(J5:J12,X16+1)-INDEX(J5:J12,X16))*(INDEX(A5:A12,X16+1)-INDEX(A5:A12,X16))+INDEX(A5:A12,X16), "≤" &amp; A5)</f>
        <v/>
      </c>
      <c r="K16" s="26">
        <f>IFERROR((Y21-INDEX(K5:K12,Y16))/(INDEX(K5:K12,Y16+1)-INDEX(K5:K12,Y16))*(INDEX(A5:A12,Y16+1)-INDEX(A5:A12,Y16))+INDEX(A5:A12,Y16), "≤" &amp; A5)</f>
        <v/>
      </c>
      <c r="L16" s="26">
        <f>IFERROR((Z21-INDEX(L5:L12,Z16))/(INDEX(L5:L12,Z16+1)-INDEX(L5:L12,Z16))*(INDEX(A5:A12,Z16+1)-INDEX(A5:A12,Z16))+INDEX(A5:A12,Z16), "≤" &amp; A5)</f>
        <v/>
      </c>
      <c r="M16" s="26">
        <f>IFERROR((AA21-INDEX(M5:M12,AA16))/(INDEX(M5:M12,AA16+1)-INDEX(M5:M12,AA16))*(INDEX(A5:A12,AA16+1)-INDEX(A5:A12,AA16))+INDEX(A5:A12,AA16), "≤" &amp; A5)</f>
        <v/>
      </c>
      <c r="O16" s="41" t="inlineStr">
        <is>
          <t>MATCH 50</t>
        </is>
      </c>
      <c r="P16" s="43">
        <f>MATCH(P21,B5:B12)</f>
        <v/>
      </c>
      <c r="Q16" s="43">
        <f>MATCH(Q21,C5:C12)</f>
        <v/>
      </c>
      <c r="R16" s="43">
        <f>MATCH(R21,D5:D12)</f>
        <v/>
      </c>
      <c r="S16" s="43">
        <f>MATCH(S21,E5:E12)</f>
        <v/>
      </c>
      <c r="T16" s="43">
        <f>MATCH(T21,F5:F12)</f>
        <v/>
      </c>
      <c r="U16" s="43">
        <f>MATCH(U21,G5:G12)</f>
        <v/>
      </c>
      <c r="V16" s="43">
        <f>MATCH(V21,H5:H12)</f>
        <v/>
      </c>
      <c r="W16" s="43">
        <f>MATCH(W21,I5:I12)</f>
        <v/>
      </c>
      <c r="X16" s="43">
        <f>MATCH(X21,J5:J12)</f>
        <v/>
      </c>
      <c r="Y16" s="43">
        <f>MATCH(Y21,K5:K12)</f>
        <v/>
      </c>
      <c r="Z16" s="43">
        <f>MATCH(Z21,L5:L12)</f>
        <v/>
      </c>
      <c r="AA16" s="44">
        <f>MATCH(AA21,M5:M12)</f>
        <v/>
      </c>
      <c r="AB16" s="40" t="n"/>
    </row>
    <row r="17">
      <c r="O17" s="41" t="n"/>
      <c r="P17" s="40" t="n"/>
      <c r="Q17" s="40" t="n"/>
      <c r="R17" s="40" t="n"/>
      <c r="S17" s="40" t="n"/>
      <c r="T17" s="40" t="n"/>
      <c r="U17" s="40" t="n"/>
      <c r="V17" s="40" t="n"/>
      <c r="W17" s="40" t="n"/>
      <c r="X17" s="40" t="n"/>
      <c r="Y17" s="40" t="n"/>
      <c r="Z17" s="40" t="n"/>
      <c r="AA17" s="42" t="n"/>
      <c r="AB17" s="40" t="n"/>
    </row>
    <row r="18">
      <c r="O18" s="41" t="n"/>
      <c r="P18" s="40" t="n"/>
      <c r="Q18" s="40" t="n"/>
      <c r="R18" s="40" t="n"/>
      <c r="S18" s="40" t="n"/>
      <c r="T18" s="40" t="n"/>
      <c r="U18" s="40" t="n"/>
      <c r="V18" s="40" t="n"/>
      <c r="W18" s="40" t="n"/>
      <c r="X18" s="40" t="n"/>
      <c r="Y18" s="40" t="n"/>
      <c r="Z18" s="40" t="n"/>
      <c r="AA18" s="42" t="n"/>
      <c r="AB18" s="40" t="n"/>
    </row>
    <row r="19">
      <c r="A19" s="1" t="inlineStr">
        <is>
          <t>Average NT 90%</t>
        </is>
      </c>
      <c r="B19" s="45" t="n"/>
      <c r="C19" s="46">
        <f>IFERROR(AVERAGE(B14:D14), "≤" &amp; A5)</f>
        <v/>
      </c>
      <c r="D19" s="47" t="n"/>
      <c r="E19" s="45" t="n"/>
      <c r="F19" s="46">
        <f>IFERROR(AVERAGE(E14:G14), "≤" &amp; A5)</f>
        <v/>
      </c>
      <c r="G19" s="48" t="n"/>
      <c r="H19" s="45" t="n"/>
      <c r="I19" s="46">
        <f>IFERROR(AVERAGE(H14:J14), "≤" &amp; A5)</f>
        <v/>
      </c>
      <c r="J19" s="48" t="n"/>
      <c r="K19" s="45" t="n"/>
      <c r="L19" s="46">
        <f>IFERROR(AVERAGE(K14:M14), "≤" &amp; A5)</f>
        <v/>
      </c>
      <c r="M19" s="48" t="n"/>
      <c r="O19" s="41" t="inlineStr">
        <is>
          <t>90% NT Factor</t>
        </is>
      </c>
      <c r="P19" s="49">
        <f>B12*0.1</f>
        <v/>
      </c>
      <c r="Q19" s="49">
        <f>C12*0.1</f>
        <v/>
      </c>
      <c r="R19" s="49">
        <f>D12*0.1</f>
        <v/>
      </c>
      <c r="S19" s="49">
        <f>E12*0.1</f>
        <v/>
      </c>
      <c r="T19" s="49">
        <f>F12*0.1</f>
        <v/>
      </c>
      <c r="U19" s="49">
        <f>G12*0.1</f>
        <v/>
      </c>
      <c r="V19" s="49">
        <f>H12*0.1</f>
        <v/>
      </c>
      <c r="W19" s="49">
        <f>I12*0.1</f>
        <v/>
      </c>
      <c r="X19" s="49">
        <f>J12*0.1</f>
        <v/>
      </c>
      <c r="Y19" s="49">
        <f>K12*0.1</f>
        <v/>
      </c>
      <c r="Z19" s="49">
        <f>L12*0.1</f>
        <v/>
      </c>
      <c r="AA19" s="50">
        <f>M12*0.1</f>
        <v/>
      </c>
    </row>
    <row r="20">
      <c r="A20" s="51" t="n"/>
      <c r="O20" s="41" t="n"/>
      <c r="P20" s="40" t="n"/>
      <c r="Q20" s="40" t="n"/>
      <c r="R20" s="40" t="n"/>
      <c r="S20" s="40" t="n"/>
      <c r="T20" s="40" t="n"/>
      <c r="U20" s="40" t="n"/>
      <c r="V20" s="40" t="n"/>
      <c r="W20" s="40" t="n"/>
      <c r="X20" s="40" t="n"/>
      <c r="Y20" s="40" t="n"/>
      <c r="Z20" s="40" t="n"/>
      <c r="AA20" s="42" t="n"/>
    </row>
    <row r="21">
      <c r="A21" s="1" t="inlineStr">
        <is>
          <t>Average NT 50%</t>
        </is>
      </c>
      <c r="B21" s="52" t="n"/>
      <c r="C21" s="53">
        <f>IFERROR(AVERAGE(B16:D16), "≤" &amp; A5)</f>
        <v/>
      </c>
      <c r="D21" s="54" t="n"/>
      <c r="E21" s="52" t="n"/>
      <c r="F21" s="53">
        <f>IFERROR(AVERAGE(E16:G16), "≤" &amp; A5)</f>
        <v/>
      </c>
      <c r="G21" s="54" t="n"/>
      <c r="H21" s="52" t="n"/>
      <c r="I21" s="53">
        <f>IFERROR(AVERAGE(H16:J16), "≤" &amp; A5)</f>
        <v/>
      </c>
      <c r="J21" s="54" t="n"/>
      <c r="K21" s="52" t="n"/>
      <c r="L21" s="53">
        <f>IFERROR(AVERAGE(K16:M16), "≤" &amp; A5)</f>
        <v/>
      </c>
      <c r="M21" s="54" t="n"/>
      <c r="O21" s="55" t="inlineStr">
        <is>
          <t>50% NT Factor</t>
        </is>
      </c>
      <c r="P21" s="56">
        <f>B12*0.5</f>
        <v/>
      </c>
      <c r="Q21" s="56">
        <f>C12*0.5</f>
        <v/>
      </c>
      <c r="R21" s="56">
        <f>D12*0.5</f>
        <v/>
      </c>
      <c r="S21" s="56">
        <f>E12*0.5</f>
        <v/>
      </c>
      <c r="T21" s="56">
        <f>F12*0.5</f>
        <v/>
      </c>
      <c r="U21" s="56">
        <f>G12*0.5</f>
        <v/>
      </c>
      <c r="V21" s="56">
        <f>H12*0.5</f>
        <v/>
      </c>
      <c r="W21" s="56">
        <f>I12*0.5</f>
        <v/>
      </c>
      <c r="X21" s="56">
        <f>J12*0.5</f>
        <v/>
      </c>
      <c r="Y21" s="56">
        <f>K12*0.5</f>
        <v/>
      </c>
      <c r="Z21" s="56">
        <f>L12*0.5</f>
        <v/>
      </c>
      <c r="AA21" s="57">
        <f>M12*0.5</f>
        <v/>
      </c>
    </row>
    <row r="24">
      <c r="F24" s="78" t="inlineStr">
        <is>
          <t>Pseudotype</t>
        </is>
      </c>
      <c r="G24" s="79" t="inlineStr">
        <is>
          <t>Sample ID</t>
        </is>
      </c>
      <c r="H24" s="80" t="inlineStr">
        <is>
          <t>Titres</t>
        </is>
      </c>
      <c r="I24" s="81" t="n"/>
    </row>
    <row r="25">
      <c r="F25" s="82" t="n"/>
      <c r="G25" s="83" t="n"/>
      <c r="H25" s="18" t="inlineStr">
        <is>
          <t>NT 90%</t>
        </is>
      </c>
      <c r="I25" s="20" t="inlineStr">
        <is>
          <t>NT 50%</t>
        </is>
      </c>
    </row>
    <row r="26">
      <c r="F26" s="9">
        <f>B3</f>
        <v/>
      </c>
      <c r="G26" s="10">
        <f>$B$4</f>
        <v/>
      </c>
      <c r="H26" s="15">
        <f>IF(ISNUMBER(C19),
    IF(C19 &lt; A5, "≤" &amp; A5, IF(C19 &gt; A11, "≥" &amp; A11, C19)),
    IF(VALUE(SUBSTITUTE(C19, "≤", "")) &lt; A5, "≤" &amp; A5, C19)
)</f>
        <v/>
      </c>
      <c r="I26" s="21">
        <f>IF(ISNUMBER(C21),
    IF(C21 &lt; A5, "≤" &amp; A5, IF(C21 &gt; A11, "≥" &amp; A11, C21)),
    IF(VALUE(SUBSTITUTE(C21, "≤", "")) &lt; A5, "≤" &amp; A5, C21)
)</f>
        <v/>
      </c>
    </row>
    <row r="27">
      <c r="F27" s="11">
        <f>E3</f>
        <v/>
      </c>
      <c r="G27" s="12">
        <f>$E$4</f>
        <v/>
      </c>
      <c r="H27" s="16">
        <f>IF(ISNUMBER(F19), IF(F19 &lt; A5, "≤" &amp; A5, IF(F19 &gt; A11, "≥" &amp; A11, F19)), IF(VALUE(SUBSTITUTE(F19, "≤", "")) &lt; A5, "≤" &amp; A5, F19) )</f>
        <v/>
      </c>
      <c r="I27" s="22">
        <f>IF(ISNUMBER(F21),
    IF(F21 &lt; A5, "≤" &amp; A5, IF(F21 &gt; A11, "≥" &amp; A11, F21)),
    IF(VALUE(SUBSTITUTE(F21, "≤", "")) &lt; A5, "≤" &amp; A5, F21)
)</f>
        <v/>
      </c>
    </row>
    <row r="28">
      <c r="F28" s="11">
        <f>H3</f>
        <v/>
      </c>
      <c r="G28" s="12">
        <f>$H$4</f>
        <v/>
      </c>
      <c r="H28" s="16">
        <f>IF(ISNUMBER(I19),
    IF(I19 &lt; A5, "≤" &amp; A5, IF(I19 &gt; A11, "≥" &amp; A11, I19)),
    IF(VALUE(SUBSTITUTE(I19, "≤", "")) &lt; A5, "≤" &amp; A5, I19)
)</f>
        <v/>
      </c>
      <c r="I28" s="22">
        <f>IF(ISNUMBER(I21),
    IF(I21 &lt; A5, "≤" &amp; A5, IF(I21 &gt; A11, "≥" &amp; A11, I21)),
    IF(VALUE(SUBSTITUTE(I21, "≤", "")) &lt; A5, "≤" &amp; A5, I21)
)</f>
        <v/>
      </c>
    </row>
    <row r="29">
      <c r="F29" s="13">
        <f>K3</f>
        <v/>
      </c>
      <c r="G29" s="14">
        <f>$K$4</f>
        <v/>
      </c>
      <c r="H29" s="17">
        <f>IF(ISNUMBER(L19),
    IF(L19 &lt; A5, "≤" &amp; A5, IF(L19 &gt; A11, "≥" &amp; A11, L19)),
    IF(VALUE(SUBSTITUTE(L19, "≤", "")) &lt; A5, "≤" &amp; A5, L19)
)</f>
        <v/>
      </c>
      <c r="I29" s="23">
        <f>IF(ISNUMBER(L21),
    IF(L21 &lt; A5, "≤" &amp; A5, IF(L21 &gt; A11, "≥" &amp; A11, L21)),
    IF(VALUE(SUBSTITUTE(L21, "≤", "")) &lt; A5, "≤" &amp; A5, L21)
)</f>
        <v/>
      </c>
    </row>
    <row r="30">
      <c r="G30" s="58" t="n"/>
      <c r="H30" s="58" t="n"/>
      <c r="I30" s="58" t="n"/>
    </row>
    <row r="31">
      <c r="G31" s="58" t="n"/>
      <c r="H31" s="58" t="n"/>
      <c r="I31" s="58" t="n"/>
    </row>
  </sheetData>
  <mergeCells count="13">
    <mergeCell ref="B2:M2"/>
    <mergeCell ref="B3:D3"/>
    <mergeCell ref="K4:M4"/>
    <mergeCell ref="H24:I24"/>
    <mergeCell ref="B4:D4"/>
    <mergeCell ref="H4:J4"/>
    <mergeCell ref="E4:G4"/>
    <mergeCell ref="E3:G3"/>
    <mergeCell ref="K3:M3"/>
    <mergeCell ref="H3:J3"/>
    <mergeCell ref="G24:G25"/>
    <mergeCell ref="P2:S2"/>
    <mergeCell ref="F24:F25"/>
  </mergeCells>
  <conditionalFormatting sqref="B5:M12">
    <cfRule type="colorScale" priority="5">
      <colorScale>
        <cfvo type="min"/>
        <cfvo type="max"/>
        <color rgb="FFFCFCFF"/>
        <color rgb="FF63BE7B"/>
      </colorScale>
    </cfRule>
  </conditionalFormatting>
  <conditionalFormatting sqref="P12:S12">
    <cfRule type="colorScale" priority="4">
      <colorScale>
        <cfvo type="num" val="1000"/>
        <cfvo type="num" val="10000"/>
        <color rgb="FFFF7E79"/>
        <color theme="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 Scott</dc:creator>
  <dcterms:created xmlns:dcterms="http://purl.org/dc/terms/" xmlns:xsi="http://www.w3.org/2001/XMLSchema-instance" xsi:type="dcterms:W3CDTF">2024-12-19T14:10:38Z</dcterms:created>
  <dcterms:modified xmlns:dcterms="http://purl.org/dc/terms/" xmlns:xsi="http://www.w3.org/2001/XMLSchema-instance" xsi:type="dcterms:W3CDTF">2026-03-20T11:48:15Z</dcterms:modified>
  <cp:lastModifiedBy>Sam Scott</cp:lastModifiedBy>
</cp:coreProperties>
</file>